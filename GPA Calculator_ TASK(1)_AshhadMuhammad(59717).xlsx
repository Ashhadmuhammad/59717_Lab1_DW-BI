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had Muhammad\Documents\Degree BSDS\Riphah\SEMESTER 5\Data warehouse\LABS\LAB (1)\"/>
    </mc:Choice>
  </mc:AlternateContent>
  <xr:revisionPtr revIDLastSave="0" documentId="13_ncr:1_{14287EE3-91FE-4C53-8730-5F9720B2BC84}" xr6:coauthVersionLast="47" xr6:coauthVersionMax="47" xr10:uidLastSave="{00000000-0000-0000-0000-000000000000}"/>
  <bookViews>
    <workbookView xWindow="-110" yWindow="-110" windowWidth="19420" windowHeight="10300" xr2:uid="{1CD5E5C3-835A-476E-937D-2B5FA902F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E8" i="1"/>
  <c r="B21" i="1"/>
  <c r="D7" i="1"/>
  <c r="E7" i="1"/>
  <c r="B24" i="1"/>
  <c r="B23" i="1"/>
  <c r="F21" i="1"/>
  <c r="E6" i="1"/>
  <c r="E5" i="1"/>
  <c r="E4" i="1"/>
  <c r="D6" i="1"/>
  <c r="D5" i="1"/>
  <c r="D4" i="1"/>
  <c r="E3" i="1"/>
  <c r="B22" i="1" s="1"/>
  <c r="D3" i="1"/>
  <c r="F24" i="1" l="1"/>
  <c r="F22" i="1"/>
  <c r="F25" i="1" l="1"/>
</calcChain>
</file>

<file path=xl/sharedStrings.xml><?xml version="1.0" encoding="utf-8"?>
<sst xmlns="http://schemas.openxmlformats.org/spreadsheetml/2006/main" count="21" uniqueCount="21">
  <si>
    <t>course</t>
  </si>
  <si>
    <t>credit Hours</t>
  </si>
  <si>
    <t>Marks</t>
  </si>
  <si>
    <t xml:space="preserve">Grade </t>
  </si>
  <si>
    <t>Gpa Points</t>
  </si>
  <si>
    <t>Database</t>
  </si>
  <si>
    <t>AI</t>
  </si>
  <si>
    <t>Data Structure</t>
  </si>
  <si>
    <t>Stats</t>
  </si>
  <si>
    <t>Total Credit Hr</t>
  </si>
  <si>
    <t>Total Points</t>
  </si>
  <si>
    <t xml:space="preserve">Pre Gpa </t>
  </si>
  <si>
    <t xml:space="preserve">Pre _Cr </t>
  </si>
  <si>
    <t>S_GPA</t>
  </si>
  <si>
    <t>CGPA</t>
  </si>
  <si>
    <t>T_Marks</t>
  </si>
  <si>
    <t>O_Marks</t>
  </si>
  <si>
    <t>Percentage</t>
  </si>
  <si>
    <t>Data warehouse</t>
  </si>
  <si>
    <t>data</t>
  </si>
  <si>
    <t>GPA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</si>
</sst>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/>
    <xf numFmtId="0" fontId="0" fillId="0" borderId="1" xfId="0" applyBorder="1"/>
    <xf numFmtId="0" fontId="0" fillId="2" borderId="2" xfId="0" applyFont="1" applyFill="1" applyBorder="1"/>
    <xf numFmtId="0" fontId="0" fillId="0" borderId="2" xfId="0" applyBorder="1"/>
    <xf numFmtId="0" fontId="0" fillId="3" borderId="2" xfId="0" applyFont="1" applyFill="1" applyBorder="1"/>
    <xf numFmtId="0" fontId="0" fillId="2" borderId="2" xfId="0" applyFill="1" applyBorder="1"/>
    <xf numFmtId="0" fontId="2" fillId="0" borderId="2" xfId="0" applyFont="1" applyBorder="1" applyAlignment="1">
      <alignment vertical="center"/>
    </xf>
    <xf numFmtId="0" fontId="0" fillId="0" borderId="3" xfId="0" applyFill="1" applyBorder="1"/>
    <xf numFmtId="2" fontId="0" fillId="0" borderId="2" xfId="0" applyNumberFormat="1" applyBorder="1"/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1402-419D-451B-9D43-3B3397FD1595}">
  <dimension ref="A1:G25"/>
  <sheetViews>
    <sheetView tabSelected="1" workbookViewId="0">
      <selection activeCell="C9" sqref="C9"/>
    </sheetView>
  </sheetViews>
  <sheetFormatPr defaultRowHeight="14.5"/>
  <cols>
    <col min="1" max="1" width="15.36328125" customWidth="1"/>
    <col min="2" max="2" width="11.36328125" customWidth="1"/>
    <col min="5" max="5" width="10.26953125" customWidth="1"/>
  </cols>
  <sheetData>
    <row r="1" spans="1:7">
      <c r="A1" t="s">
        <v>20</v>
      </c>
    </row>
    <row r="2" spans="1:7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</row>
    <row r="3" spans="1:7">
      <c r="A3" s="3" t="s">
        <v>5</v>
      </c>
      <c r="B3" s="4">
        <v>3</v>
      </c>
      <c r="C3" s="4">
        <v>71</v>
      </c>
      <c r="D3" s="4" t="str">
        <f>IF(C3&gt;=90,"A+",IF(C3&gt;=80,"A",IF(C3&gt;=75,"B+",IF(C3&gt;=70,"B",IF(C3&gt;=65,"C+",IF(C3&gt;=60,"C",IF(C3&gt;=55,"D+",IF(C3&gt;=50,"D","F"))))))))</f>
        <v>B</v>
      </c>
      <c r="E3" s="4">
        <f>IF(C3&gt;=90,4,IF(C3&gt;=80,4,IF(C3&gt;=75,3.5,IF(C3&gt;=70,3,IF(C3&gt;=65,2.5,IF(C3&gt;=60,2,IF(C3&gt;=55,1.5,IF(C3&gt;=50,1,0))))))))</f>
        <v>3</v>
      </c>
    </row>
    <row r="4" spans="1:7">
      <c r="A4" s="3" t="s">
        <v>6</v>
      </c>
      <c r="B4" s="4">
        <v>3</v>
      </c>
      <c r="C4" s="4">
        <v>76</v>
      </c>
      <c r="D4" s="7" t="str">
        <f>IF(C4&gt;=90,"A+",IF(C4&gt;=80,"A",IF(C4&gt;=75,"B+",IF(C4&gt;=70,"B",IF(C4&gt;=65,"C+",IF(C4&gt;=60,"C",IF(C4&gt;=55,"D+",IF(C4&gt;=50,"D","F"))))))))</f>
        <v>B+</v>
      </c>
      <c r="E4" s="4">
        <f>IF(C4&gt;=90,4,IF(C4&gt;=80,4,IF(C4&gt;=75,3.5,IF(C4&gt;=70,3,IF(C4&gt;=65,2.5,IF(C4&gt;=60,2,IF(C4&gt;=55,1.5,IF(C4&gt;=50,1,0))))))))</f>
        <v>3.5</v>
      </c>
    </row>
    <row r="5" spans="1:7">
      <c r="A5" s="3" t="s">
        <v>7</v>
      </c>
      <c r="B5" s="4">
        <v>3</v>
      </c>
      <c r="C5" s="4">
        <v>68</v>
      </c>
      <c r="D5" s="7" t="str">
        <f>IF(C5&gt;=90,"A+",IF(C5&gt;=80,"A",IF(C5&gt;=75,"B+",IF(C5&gt;=70,"B",IF(C5&gt;=65,"C+",IF(C5&gt;=60,"C",IF(C5&gt;=55,"D+",IF(C5&gt;=50,"D","F"))))))))</f>
        <v>C+</v>
      </c>
      <c r="E5" s="4">
        <f>IF(C5&gt;=90,4,IF(C5&gt;=80,4,IF(C5&gt;=75,3.5,IF(C5&gt;=70,3,IF(C5&gt;=65,2.5,IF(C5&gt;=60,2,IF(C5&gt;=55,1.5,IF(C5&gt;=50,1,0))))))))</f>
        <v>2.5</v>
      </c>
    </row>
    <row r="6" spans="1:7">
      <c r="A6" s="3" t="s">
        <v>8</v>
      </c>
      <c r="B6" s="4">
        <v>3</v>
      </c>
      <c r="C6" s="4">
        <v>91</v>
      </c>
      <c r="D6" s="4" t="str">
        <f>IF(C6&gt;=90,"A+",IF(C6&gt;=80,"A",IF(C6&gt;=75,"B+",IF(C6&gt;=70,"B",IF(C6&gt;=65,"C+",IF(C6&gt;=60,"C",IF(C6&gt;=55,"D+",IF(C6&gt;=50,"D","F"))))))))</f>
        <v>A+</v>
      </c>
      <c r="E6" s="4">
        <f>IF(C6&gt;=90,4,IF(C6&gt;=80,4,IF(C6&gt;=75,3.5,IF(C6&gt;=70,3,IF(C6&gt;=65,2.5,IF(C6&gt;=60,2,IF(C6&gt;=55,1.5,IF(C6&gt;=50,1,0))))))))</f>
        <v>4</v>
      </c>
    </row>
    <row r="7" spans="1:7">
      <c r="A7" s="3" t="s">
        <v>18</v>
      </c>
      <c r="B7" s="4">
        <v>3</v>
      </c>
      <c r="C7" s="4">
        <v>55</v>
      </c>
      <c r="D7" s="4" t="str">
        <f>IF(C7&gt;=90,"A+",IF(C7&gt;=80,"A",IF(C7&gt;=75,"B+",IF(C7&gt;=70,"B",IF(C7&gt;=65,"C+",IF(C7&gt;=60,"C",IF(C7&gt;=55,"D+",IF(C7&gt;=50,"D","F"))))))))</f>
        <v>D+</v>
      </c>
      <c r="E7" s="4">
        <f>IF(C7&gt;=90,4,IF(C7&gt;=80,4,IF(C7&gt;=75,3.5,IF(C7&gt;=70,3,IF(C7&gt;=65,2.5,IF(C7&gt;=60,2,IF(C7&gt;=55,1.5,IF(C7&gt;=50,1,0))))))))</f>
        <v>1.5</v>
      </c>
      <c r="G7" s="2"/>
    </row>
    <row r="8" spans="1:7">
      <c r="A8" s="1" t="s">
        <v>19</v>
      </c>
      <c r="B8" s="8">
        <v>3</v>
      </c>
      <c r="C8" s="8">
        <v>70</v>
      </c>
      <c r="D8" s="8" t="str">
        <f>IF(C8&gt;=90,"A+",IF(C8&gt;=80,"A",IF(C8&gt;=75,"B+",IF(C8&gt;=70,"B",IF(C8&gt;=65,"C+",IF(C8&gt;=60,"C",IF(C8&gt;=55,"D+",IF(C8&gt;=50,"D","F"))))))))</f>
        <v>B</v>
      </c>
      <c r="E8" s="8">
        <f>IF(C8&gt;=90,4,IF(C8&gt;=80,4,IF(C8&gt;=75,3.5,IF(C8&gt;=70,3,IF(C8&gt;=65,2.5,IF(C8&gt;=60,2,IF(C8&gt;=55,1.5,IF(C8&gt;=50,1,0))))))))</f>
        <v>3</v>
      </c>
    </row>
    <row r="9" spans="1:7">
      <c r="C9" s="8"/>
    </row>
    <row r="21" spans="1:6">
      <c r="A21" s="3" t="s">
        <v>9</v>
      </c>
      <c r="B21" s="4">
        <f>SUM(B3:B8)</f>
        <v>18</v>
      </c>
      <c r="C21" s="4"/>
      <c r="D21" s="4"/>
      <c r="E21" s="3" t="s">
        <v>10</v>
      </c>
      <c r="F21" s="5">
        <f>SUMPRODUCT(B3:B6,E3:E6)</f>
        <v>39</v>
      </c>
    </row>
    <row r="22" spans="1:6">
      <c r="A22" s="3" t="s">
        <v>15</v>
      </c>
      <c r="B22" s="4">
        <f>SUMPRODUCT(B3:B6,E3:E6)</f>
        <v>39</v>
      </c>
      <c r="C22" s="4"/>
      <c r="D22" s="4"/>
      <c r="E22" s="6" t="s">
        <v>11</v>
      </c>
      <c r="F22" s="9">
        <f>IFERROR(F21/B21,0)</f>
        <v>2.1666666666666665</v>
      </c>
    </row>
    <row r="23" spans="1:6">
      <c r="A23" s="3" t="s">
        <v>16</v>
      </c>
      <c r="B23" s="9">
        <f>IFERROR(AVERAGE(C3:C20),0)</f>
        <v>71.833333333333329</v>
      </c>
      <c r="C23" s="4"/>
      <c r="D23" s="4"/>
      <c r="E23" s="3" t="s">
        <v>12</v>
      </c>
      <c r="F23" s="4">
        <v>45</v>
      </c>
    </row>
    <row r="24" spans="1:6">
      <c r="A24" s="3" t="s">
        <v>17</v>
      </c>
      <c r="B24" s="9">
        <f>IFERROR(AVERAGE(C3:C20),0)</f>
        <v>71.833333333333329</v>
      </c>
      <c r="C24" s="4"/>
      <c r="D24" s="4"/>
      <c r="E24" s="6" t="s">
        <v>13</v>
      </c>
      <c r="F24" s="9">
        <f>IFERROR(F21/B21,0)</f>
        <v>2.1666666666666665</v>
      </c>
    </row>
    <row r="25" spans="1:6">
      <c r="A25" s="4"/>
      <c r="B25" s="4"/>
      <c r="C25" s="4"/>
      <c r="D25" s="4"/>
      <c r="E25" s="6" t="s">
        <v>14</v>
      </c>
      <c r="F25" s="9">
        <f>IFERROR(((F22*F23)+(F24*B21))/(F23+B21),0)</f>
        <v>2.1666666666666665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59717@students.riphah.edu.pk</dc:creator>
  <cp:lastModifiedBy>59717@students.riphah.edu.pk</cp:lastModifiedBy>
  <dcterms:created xsi:type="dcterms:W3CDTF">2026-09-14T04:00:32Z</dcterms:created>
  <dcterms:modified xsi:type="dcterms:W3CDTF">2026-09-14T05:58:19Z</dcterms:modified>
</cp:coreProperties>
</file>